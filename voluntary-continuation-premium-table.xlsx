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a19090\Desktop\"/>
    </mc:Choice>
  </mc:AlternateContent>
  <xr:revisionPtr revIDLastSave="0" documentId="13_ncr:1_{73117A50-6DF9-4523-9F88-D6B3EF8B287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40歳未満" sheetId="1" r:id="rId1"/>
    <sheet name="40歳～64歳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1" i="2" l="1"/>
  <c r="J22" i="2"/>
  <c r="J23" i="2"/>
  <c r="J24" i="2"/>
  <c r="J25" i="2"/>
  <c r="J26" i="2"/>
  <c r="J27" i="2"/>
  <c r="J28" i="2"/>
  <c r="I21" i="2"/>
  <c r="I22" i="2"/>
  <c r="K22" i="2" s="1"/>
  <c r="I23" i="2"/>
  <c r="K23" i="2" s="1"/>
  <c r="I24" i="2"/>
  <c r="I25" i="2"/>
  <c r="I26" i="2"/>
  <c r="K26" i="2" s="1"/>
  <c r="I27" i="2"/>
  <c r="I28" i="2"/>
  <c r="G21" i="2"/>
  <c r="G22" i="2"/>
  <c r="G23" i="2"/>
  <c r="G24" i="2"/>
  <c r="G25" i="2"/>
  <c r="G26" i="2"/>
  <c r="G27" i="2"/>
  <c r="G28" i="2"/>
  <c r="F21" i="2"/>
  <c r="F22" i="2"/>
  <c r="F23" i="2"/>
  <c r="F24" i="2"/>
  <c r="F25" i="2"/>
  <c r="F26" i="2"/>
  <c r="F27" i="2"/>
  <c r="F28" i="2"/>
  <c r="I2" i="1"/>
  <c r="F28" i="1"/>
  <c r="G28" i="1"/>
  <c r="I28" i="1"/>
  <c r="F27" i="1"/>
  <c r="G27" i="1"/>
  <c r="H27" i="1" s="1"/>
  <c r="J27" i="1" s="1"/>
  <c r="I27" i="1"/>
  <c r="F26" i="1"/>
  <c r="G26" i="1"/>
  <c r="I26" i="1"/>
  <c r="F25" i="1"/>
  <c r="G25" i="1"/>
  <c r="I25" i="1"/>
  <c r="F24" i="1"/>
  <c r="G24" i="1"/>
  <c r="I24" i="1"/>
  <c r="F23" i="1"/>
  <c r="G23" i="1"/>
  <c r="I23" i="1"/>
  <c r="F22" i="1"/>
  <c r="G22" i="1"/>
  <c r="I22" i="1"/>
  <c r="F21" i="1"/>
  <c r="G21" i="1"/>
  <c r="I21" i="1"/>
  <c r="J20" i="2"/>
  <c r="I20" i="2"/>
  <c r="G20" i="2"/>
  <c r="F20" i="2"/>
  <c r="J19" i="2"/>
  <c r="I19" i="2"/>
  <c r="G19" i="2"/>
  <c r="F19" i="2"/>
  <c r="J18" i="2"/>
  <c r="I18" i="2"/>
  <c r="G18" i="2"/>
  <c r="F18" i="2"/>
  <c r="J17" i="2"/>
  <c r="I17" i="2"/>
  <c r="G17" i="2"/>
  <c r="F17" i="2"/>
  <c r="J16" i="2"/>
  <c r="I16" i="2"/>
  <c r="G16" i="2"/>
  <c r="F16" i="2"/>
  <c r="J15" i="2"/>
  <c r="I15" i="2"/>
  <c r="K15" i="2" s="1"/>
  <c r="G15" i="2"/>
  <c r="F15" i="2"/>
  <c r="J14" i="2"/>
  <c r="I14" i="2"/>
  <c r="K14" i="2" s="1"/>
  <c r="G14" i="2"/>
  <c r="F14" i="2"/>
  <c r="J13" i="2"/>
  <c r="I13" i="2"/>
  <c r="K13" i="2" s="1"/>
  <c r="G13" i="2"/>
  <c r="F13" i="2"/>
  <c r="J12" i="2"/>
  <c r="I12" i="2"/>
  <c r="G12" i="2"/>
  <c r="F12" i="2"/>
  <c r="J11" i="2"/>
  <c r="I11" i="2"/>
  <c r="K11" i="2" s="1"/>
  <c r="G11" i="2"/>
  <c r="F11" i="2"/>
  <c r="J10" i="2"/>
  <c r="I10" i="2"/>
  <c r="K10" i="2" s="1"/>
  <c r="G10" i="2"/>
  <c r="F10" i="2"/>
  <c r="J9" i="2"/>
  <c r="I9" i="2"/>
  <c r="G9" i="2"/>
  <c r="F9" i="2"/>
  <c r="J8" i="2"/>
  <c r="I8" i="2"/>
  <c r="K8" i="2" s="1"/>
  <c r="G8" i="2"/>
  <c r="F8" i="2"/>
  <c r="J7" i="2"/>
  <c r="I7" i="2"/>
  <c r="K7" i="2" s="1"/>
  <c r="G7" i="2"/>
  <c r="F7" i="2"/>
  <c r="J6" i="2"/>
  <c r="I6" i="2"/>
  <c r="G6" i="2"/>
  <c r="F6" i="2"/>
  <c r="J5" i="2"/>
  <c r="I5" i="2"/>
  <c r="G5" i="2"/>
  <c r="F5" i="2"/>
  <c r="J4" i="2"/>
  <c r="I4" i="2"/>
  <c r="K4" i="2" s="1"/>
  <c r="G4" i="2"/>
  <c r="F4" i="2"/>
  <c r="J3" i="2"/>
  <c r="I3" i="2"/>
  <c r="K3" i="2" s="1"/>
  <c r="G3" i="2"/>
  <c r="F3" i="2"/>
  <c r="J2" i="2"/>
  <c r="I2" i="2"/>
  <c r="G2" i="2"/>
  <c r="F2" i="2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H15" i="1" s="1"/>
  <c r="J15" i="1" s="1"/>
  <c r="F16" i="1"/>
  <c r="F17" i="1"/>
  <c r="F18" i="1"/>
  <c r="F19" i="1"/>
  <c r="F20" i="1"/>
  <c r="F2" i="1"/>
  <c r="H21" i="1" l="1"/>
  <c r="H24" i="1"/>
  <c r="J24" i="1" s="1"/>
  <c r="H19" i="1"/>
  <c r="J19" i="1" s="1"/>
  <c r="H7" i="1"/>
  <c r="J7" i="1" s="1"/>
  <c r="H22" i="1"/>
  <c r="J22" i="1" s="1"/>
  <c r="H2" i="1"/>
  <c r="J2" i="1" s="1"/>
  <c r="H9" i="1"/>
  <c r="J9" i="1" s="1"/>
  <c r="H3" i="1"/>
  <c r="J3" i="1" s="1"/>
  <c r="J21" i="1"/>
  <c r="H11" i="1"/>
  <c r="J11" i="1" s="1"/>
  <c r="H10" i="1"/>
  <c r="J10" i="1" s="1"/>
  <c r="H20" i="1"/>
  <c r="J20" i="1" s="1"/>
  <c r="H8" i="1"/>
  <c r="J8" i="1" s="1"/>
  <c r="H18" i="1"/>
  <c r="J18" i="1" s="1"/>
  <c r="H6" i="1"/>
  <c r="J6" i="1" s="1"/>
  <c r="H17" i="1"/>
  <c r="J17" i="1" s="1"/>
  <c r="H5" i="1"/>
  <c r="J5" i="1" s="1"/>
  <c r="H25" i="1"/>
  <c r="J25" i="1" s="1"/>
  <c r="H16" i="1"/>
  <c r="J16" i="1" s="1"/>
  <c r="H4" i="1"/>
  <c r="J4" i="1" s="1"/>
  <c r="H23" i="1"/>
  <c r="J23" i="1" s="1"/>
  <c r="H14" i="1"/>
  <c r="J14" i="1" s="1"/>
  <c r="H13" i="1"/>
  <c r="J13" i="1" s="1"/>
  <c r="H12" i="1"/>
  <c r="J12" i="1" s="1"/>
  <c r="H26" i="1"/>
  <c r="J26" i="1" s="1"/>
  <c r="H28" i="1"/>
  <c r="J28" i="1" s="1"/>
  <c r="K16" i="2"/>
  <c r="K19" i="2"/>
  <c r="K27" i="2"/>
  <c r="K20" i="2"/>
  <c r="K25" i="2"/>
  <c r="K24" i="2"/>
  <c r="K2" i="2"/>
  <c r="K5" i="2"/>
  <c r="K17" i="2"/>
  <c r="K9" i="2"/>
  <c r="K12" i="2"/>
  <c r="K18" i="2"/>
  <c r="K21" i="2"/>
  <c r="K6" i="2"/>
  <c r="K28" i="2"/>
</calcChain>
</file>

<file path=xl/sharedStrings.xml><?xml version="1.0" encoding="utf-8"?>
<sst xmlns="http://schemas.openxmlformats.org/spreadsheetml/2006/main" count="73" uniqueCount="12">
  <si>
    <t>等級</t>
  </si>
  <si>
    <t>標準報酬月額</t>
  </si>
  <si>
    <t>一般(9.5%)</t>
  </si>
  <si>
    <t>調整(0.135%)</t>
  </si>
  <si>
    <t>健康保険計</t>
  </si>
  <si>
    <t>介護(1.6%)</t>
  </si>
  <si>
    <t>子ども子育て(0.23%)</t>
  </si>
  <si>
    <t>月額合計</t>
  </si>
  <si>
    <t>新設_子ども子育て(0.23%)</t>
    <rPh sb="0" eb="2">
      <t>シンセツ</t>
    </rPh>
    <phoneticPr fontId="1"/>
  </si>
  <si>
    <t>～</t>
  </si>
  <si>
    <t>円以上</t>
    <rPh sb="0" eb="3">
      <t>エンイジョウ</t>
    </rPh>
    <phoneticPr fontId="1"/>
  </si>
  <si>
    <t>円未満</t>
    <rPh sb="0" eb="1">
      <t>エン</t>
    </rPh>
    <rPh sb="1" eb="3">
      <t>ミマン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</si>
</sst>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#,##0_);[Red]\(#,##0\)"/>
    <numFmt numFmtId="180" formatCode="&quot;¥&quot;#,##0_);[Red]\(&quot;¥&quot;#,##0\)"/>
  </numFmts>
  <fonts count="5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0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179" fontId="2" fillId="0" borderId="0" xfId="0" applyNumberFormat="1" applyFont="1"/>
    <xf numFmtId="179" fontId="3" fillId="0" borderId="0" xfId="0" applyNumberFormat="1" applyFont="1"/>
    <xf numFmtId="179" fontId="2" fillId="0" borderId="2" xfId="0" applyNumberFormat="1" applyFont="1" applyBorder="1"/>
    <xf numFmtId="179" fontId="3" fillId="0" borderId="2" xfId="0" applyNumberFormat="1" applyFont="1" applyBorder="1"/>
    <xf numFmtId="179" fontId="3" fillId="0" borderId="1" xfId="0" applyNumberFormat="1" applyFont="1" applyBorder="1" applyAlignment="1">
      <alignment horizontal="center"/>
    </xf>
    <xf numFmtId="179" fontId="3" fillId="2" borderId="1" xfId="0" applyNumberFormat="1" applyFont="1" applyFill="1" applyBorder="1" applyAlignment="1">
      <alignment horizontal="center"/>
    </xf>
    <xf numFmtId="179" fontId="2" fillId="3" borderId="4" xfId="0" applyNumberFormat="1" applyFont="1" applyFill="1" applyBorder="1"/>
    <xf numFmtId="179" fontId="3" fillId="3" borderId="4" xfId="0" applyNumberFormat="1" applyFont="1" applyFill="1" applyBorder="1"/>
    <xf numFmtId="179" fontId="2" fillId="3" borderId="2" xfId="0" applyNumberFormat="1" applyFont="1" applyFill="1" applyBorder="1"/>
    <xf numFmtId="179" fontId="3" fillId="3" borderId="2" xfId="0" applyNumberFormat="1" applyFont="1" applyFill="1" applyBorder="1"/>
    <xf numFmtId="179" fontId="2" fillId="3" borderId="3" xfId="0" applyNumberFormat="1" applyFont="1" applyFill="1" applyBorder="1"/>
    <xf numFmtId="179" fontId="3" fillId="3" borderId="3" xfId="0" applyNumberFormat="1" applyFont="1" applyFill="1" applyBorder="1"/>
    <xf numFmtId="180" fontId="4" fillId="0" borderId="2" xfId="0" applyNumberFormat="1" applyFont="1" applyBorder="1"/>
    <xf numFmtId="179" fontId="3" fillId="0" borderId="0" xfId="0" applyNumberFormat="1" applyFont="1" applyAlignment="1">
      <alignment horizontal="center"/>
    </xf>
    <xf numFmtId="179" fontId="3" fillId="0" borderId="5" xfId="0" applyNumberFormat="1" applyFont="1" applyBorder="1" applyAlignment="1">
      <alignment horizontal="center"/>
    </xf>
    <xf numFmtId="179" fontId="3" fillId="0" borderId="7" xfId="0" applyNumberFormat="1" applyFont="1" applyBorder="1"/>
    <xf numFmtId="179" fontId="3" fillId="0" borderId="9" xfId="0" applyNumberFormat="1" applyFont="1" applyBorder="1" applyAlignment="1">
      <alignment horizontal="center"/>
    </xf>
    <xf numFmtId="180" fontId="4" fillId="0" borderId="11" xfId="0" applyNumberFormat="1" applyFont="1" applyBorder="1"/>
    <xf numFmtId="179" fontId="3" fillId="0" borderId="2" xfId="0" applyNumberFormat="1" applyFont="1" applyBorder="1" applyAlignment="1">
      <alignment horizontal="center"/>
    </xf>
    <xf numFmtId="179" fontId="3" fillId="3" borderId="4" xfId="0" applyNumberFormat="1" applyFont="1" applyFill="1" applyBorder="1" applyAlignment="1">
      <alignment horizontal="center"/>
    </xf>
    <xf numFmtId="179" fontId="3" fillId="3" borderId="2" xfId="0" applyNumberFormat="1" applyFont="1" applyFill="1" applyBorder="1" applyAlignment="1">
      <alignment horizontal="center"/>
    </xf>
    <xf numFmtId="179" fontId="2" fillId="4" borderId="4" xfId="0" applyNumberFormat="1" applyFont="1" applyFill="1" applyBorder="1"/>
    <xf numFmtId="179" fontId="3" fillId="4" borderId="4" xfId="0" applyNumberFormat="1" applyFont="1" applyFill="1" applyBorder="1"/>
    <xf numFmtId="179" fontId="3" fillId="4" borderId="4" xfId="0" applyNumberFormat="1" applyFont="1" applyFill="1" applyBorder="1" applyAlignment="1">
      <alignment horizontal="center"/>
    </xf>
    <xf numFmtId="180" fontId="4" fillId="4" borderId="4" xfId="0" applyNumberFormat="1" applyFont="1" applyFill="1" applyBorder="1"/>
    <xf numFmtId="179" fontId="2" fillId="4" borderId="2" xfId="0" applyNumberFormat="1" applyFont="1" applyFill="1" applyBorder="1"/>
    <xf numFmtId="179" fontId="3" fillId="4" borderId="2" xfId="0" applyNumberFormat="1" applyFont="1" applyFill="1" applyBorder="1"/>
    <xf numFmtId="179" fontId="3" fillId="4" borderId="2" xfId="0" applyNumberFormat="1" applyFont="1" applyFill="1" applyBorder="1" applyAlignment="1">
      <alignment horizontal="center"/>
    </xf>
    <xf numFmtId="180" fontId="4" fillId="4" borderId="2" xfId="0" applyNumberFormat="1" applyFont="1" applyFill="1" applyBorder="1"/>
    <xf numFmtId="179" fontId="2" fillId="4" borderId="3" xfId="0" applyNumberFormat="1" applyFont="1" applyFill="1" applyBorder="1"/>
    <xf numFmtId="179" fontId="3" fillId="4" borderId="3" xfId="0" applyNumberFormat="1" applyFont="1" applyFill="1" applyBorder="1"/>
    <xf numFmtId="179" fontId="3" fillId="4" borderId="3" xfId="0" applyNumberFormat="1" applyFont="1" applyFill="1" applyBorder="1" applyAlignment="1">
      <alignment horizontal="center"/>
    </xf>
    <xf numFmtId="180" fontId="4" fillId="4" borderId="3" xfId="0" applyNumberFormat="1" applyFont="1" applyFill="1" applyBorder="1"/>
    <xf numFmtId="179" fontId="4" fillId="4" borderId="4" xfId="0" applyNumberFormat="1" applyFont="1" applyFill="1" applyBorder="1"/>
    <xf numFmtId="179" fontId="4" fillId="0" borderId="2" xfId="0" applyNumberFormat="1" applyFont="1" applyBorder="1"/>
    <xf numFmtId="179" fontId="4" fillId="4" borderId="2" xfId="0" applyNumberFormat="1" applyFont="1" applyFill="1" applyBorder="1"/>
    <xf numFmtId="179" fontId="4" fillId="4" borderId="3" xfId="0" applyNumberFormat="1" applyFont="1" applyFill="1" applyBorder="1"/>
    <xf numFmtId="179" fontId="4" fillId="3" borderId="4" xfId="0" applyNumberFormat="1" applyFont="1" applyFill="1" applyBorder="1"/>
    <xf numFmtId="179" fontId="3" fillId="3" borderId="6" xfId="0" applyNumberFormat="1" applyFont="1" applyFill="1" applyBorder="1"/>
    <xf numFmtId="180" fontId="4" fillId="3" borderId="10" xfId="0" applyNumberFormat="1" applyFont="1" applyFill="1" applyBorder="1"/>
    <xf numFmtId="179" fontId="4" fillId="3" borderId="2" xfId="0" applyNumberFormat="1" applyFont="1" applyFill="1" applyBorder="1"/>
    <xf numFmtId="179" fontId="3" fillId="3" borderId="7" xfId="0" applyNumberFormat="1" applyFont="1" applyFill="1" applyBorder="1"/>
    <xf numFmtId="180" fontId="4" fillId="3" borderId="11" xfId="0" applyNumberFormat="1" applyFont="1" applyFill="1" applyBorder="1"/>
    <xf numFmtId="179" fontId="3" fillId="3" borderId="3" xfId="0" applyNumberFormat="1" applyFont="1" applyFill="1" applyBorder="1" applyAlignment="1">
      <alignment horizontal="center"/>
    </xf>
    <xf numFmtId="179" fontId="4" fillId="3" borderId="3" xfId="0" applyNumberFormat="1" applyFont="1" applyFill="1" applyBorder="1"/>
    <xf numFmtId="179" fontId="3" fillId="3" borderId="8" xfId="0" applyNumberFormat="1" applyFont="1" applyFill="1" applyBorder="1"/>
    <xf numFmtId="180" fontId="4" fillId="3" borderId="12" xfId="0" applyNumberFormat="1" applyFont="1" applyFill="1" applyBorder="1"/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99FF99"/>
      <color rgb="FF66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66FFFF"/>
  </sheetPr>
  <dimension ref="A1:J28"/>
  <sheetViews>
    <sheetView workbookViewId="0">
      <selection sqref="A1:XFD1048576"/>
    </sheetView>
  </sheetViews>
  <sheetFormatPr defaultColWidth="12.625" defaultRowHeight="15.75" x14ac:dyDescent="0.25"/>
  <cols>
    <col min="1" max="1" width="10.625" style="1" customWidth="1"/>
    <col min="2" max="2" width="10.625" style="2" customWidth="1"/>
    <col min="3" max="3" width="3.625" style="14" customWidth="1"/>
    <col min="4" max="4" width="10.625" style="2" customWidth="1"/>
    <col min="5" max="8" width="14.625" style="1" customWidth="1"/>
    <col min="9" max="9" width="22.625" style="1" customWidth="1"/>
    <col min="10" max="10" width="18.625" style="1" customWidth="1"/>
    <col min="11" max="16384" width="12.625" style="1"/>
  </cols>
  <sheetData>
    <row r="1" spans="1:10" ht="24.95" customHeight="1" x14ac:dyDescent="0.25">
      <c r="A1" s="5" t="s">
        <v>0</v>
      </c>
      <c r="B1" s="5" t="s">
        <v>10</v>
      </c>
      <c r="C1" s="5"/>
      <c r="D1" s="5" t="s">
        <v>11</v>
      </c>
      <c r="E1" s="5" t="s">
        <v>1</v>
      </c>
      <c r="F1" s="5" t="s">
        <v>2</v>
      </c>
      <c r="G1" s="5" t="s">
        <v>3</v>
      </c>
      <c r="H1" s="5" t="s">
        <v>4</v>
      </c>
      <c r="I1" s="6" t="s">
        <v>8</v>
      </c>
      <c r="J1" s="5" t="s">
        <v>7</v>
      </c>
    </row>
    <row r="2" spans="1:10" ht="20.100000000000001" customHeight="1" x14ac:dyDescent="0.25">
      <c r="A2" s="22">
        <v>1</v>
      </c>
      <c r="B2" s="23"/>
      <c r="C2" s="24" t="s">
        <v>9</v>
      </c>
      <c r="D2" s="23">
        <v>63000</v>
      </c>
      <c r="E2" s="34">
        <v>58000</v>
      </c>
      <c r="F2" s="23">
        <f>+E2*0.095</f>
        <v>5510</v>
      </c>
      <c r="G2" s="23">
        <f>+E2*0.00135</f>
        <v>78.3</v>
      </c>
      <c r="H2" s="23">
        <f>+F2+G2</f>
        <v>5588.3</v>
      </c>
      <c r="I2" s="23">
        <f>+E2*0.0023</f>
        <v>133.4</v>
      </c>
      <c r="J2" s="25">
        <f>+H2+I2</f>
        <v>5721.7</v>
      </c>
    </row>
    <row r="3" spans="1:10" ht="20.100000000000001" customHeight="1" x14ac:dyDescent="0.25">
      <c r="A3" s="3">
        <v>2</v>
      </c>
      <c r="B3" s="4">
        <v>63000</v>
      </c>
      <c r="C3" s="19" t="s">
        <v>9</v>
      </c>
      <c r="D3" s="4">
        <v>73000</v>
      </c>
      <c r="E3" s="35">
        <v>68000</v>
      </c>
      <c r="F3" s="4">
        <f t="shared" ref="F3:F28" si="0">+E3*0.095</f>
        <v>6460</v>
      </c>
      <c r="G3" s="4">
        <f t="shared" ref="G3:G28" si="1">+E3*0.00135</f>
        <v>91.800000000000011</v>
      </c>
      <c r="H3" s="4">
        <f t="shared" ref="H3:H19" si="2">+F3+G3</f>
        <v>6551.8</v>
      </c>
      <c r="I3" s="4">
        <f t="shared" ref="I3:I28" si="3">+E3*0.0023</f>
        <v>156.4</v>
      </c>
      <c r="J3" s="13">
        <f t="shared" ref="J3:J28" si="4">+H3+I3</f>
        <v>6708.2</v>
      </c>
    </row>
    <row r="4" spans="1:10" ht="20.100000000000001" customHeight="1" x14ac:dyDescent="0.25">
      <c r="A4" s="26">
        <v>3</v>
      </c>
      <c r="B4" s="27">
        <v>73000</v>
      </c>
      <c r="C4" s="28" t="s">
        <v>9</v>
      </c>
      <c r="D4" s="27">
        <v>83000</v>
      </c>
      <c r="E4" s="36">
        <v>78000</v>
      </c>
      <c r="F4" s="27">
        <f t="shared" si="0"/>
        <v>7410</v>
      </c>
      <c r="G4" s="27">
        <f t="shared" si="1"/>
        <v>105.30000000000001</v>
      </c>
      <c r="H4" s="27">
        <f t="shared" si="2"/>
        <v>7515.3</v>
      </c>
      <c r="I4" s="27">
        <f t="shared" si="3"/>
        <v>179.4</v>
      </c>
      <c r="J4" s="29">
        <f t="shared" si="4"/>
        <v>7694.7</v>
      </c>
    </row>
    <row r="5" spans="1:10" ht="20.100000000000001" customHeight="1" x14ac:dyDescent="0.25">
      <c r="A5" s="3">
        <v>4</v>
      </c>
      <c r="B5" s="4">
        <v>83000</v>
      </c>
      <c r="C5" s="19" t="s">
        <v>9</v>
      </c>
      <c r="D5" s="4">
        <v>93000</v>
      </c>
      <c r="E5" s="35">
        <v>88000</v>
      </c>
      <c r="F5" s="4">
        <f t="shared" si="0"/>
        <v>8360</v>
      </c>
      <c r="G5" s="4">
        <f t="shared" si="1"/>
        <v>118.80000000000001</v>
      </c>
      <c r="H5" s="4">
        <f t="shared" si="2"/>
        <v>8478.7999999999993</v>
      </c>
      <c r="I5" s="4">
        <f t="shared" si="3"/>
        <v>202.4</v>
      </c>
      <c r="J5" s="13">
        <f t="shared" si="4"/>
        <v>8681.1999999999989</v>
      </c>
    </row>
    <row r="6" spans="1:10" ht="20.100000000000001" customHeight="1" x14ac:dyDescent="0.25">
      <c r="A6" s="26">
        <v>5</v>
      </c>
      <c r="B6" s="27">
        <v>93000</v>
      </c>
      <c r="C6" s="28" t="s">
        <v>9</v>
      </c>
      <c r="D6" s="27">
        <v>101000</v>
      </c>
      <c r="E6" s="36">
        <v>98000</v>
      </c>
      <c r="F6" s="27">
        <f t="shared" si="0"/>
        <v>9310</v>
      </c>
      <c r="G6" s="27">
        <f t="shared" si="1"/>
        <v>132.30000000000001</v>
      </c>
      <c r="H6" s="27">
        <f t="shared" si="2"/>
        <v>9442.2999999999993</v>
      </c>
      <c r="I6" s="27">
        <f t="shared" si="3"/>
        <v>225.4</v>
      </c>
      <c r="J6" s="29">
        <f t="shared" si="4"/>
        <v>9667.6999999999989</v>
      </c>
    </row>
    <row r="7" spans="1:10" ht="20.100000000000001" customHeight="1" x14ac:dyDescent="0.25">
      <c r="A7" s="3">
        <v>6</v>
      </c>
      <c r="B7" s="4">
        <v>101000</v>
      </c>
      <c r="C7" s="19" t="s">
        <v>9</v>
      </c>
      <c r="D7" s="4">
        <v>107000</v>
      </c>
      <c r="E7" s="35">
        <v>104000</v>
      </c>
      <c r="F7" s="4">
        <f t="shared" si="0"/>
        <v>9880</v>
      </c>
      <c r="G7" s="4">
        <f t="shared" si="1"/>
        <v>140.4</v>
      </c>
      <c r="H7" s="4">
        <f t="shared" si="2"/>
        <v>10020.4</v>
      </c>
      <c r="I7" s="4">
        <f t="shared" si="3"/>
        <v>239.2</v>
      </c>
      <c r="J7" s="13">
        <f t="shared" si="4"/>
        <v>10259.6</v>
      </c>
    </row>
    <row r="8" spans="1:10" ht="20.100000000000001" customHeight="1" x14ac:dyDescent="0.25">
      <c r="A8" s="26">
        <v>7</v>
      </c>
      <c r="B8" s="27">
        <v>107000</v>
      </c>
      <c r="C8" s="28" t="s">
        <v>9</v>
      </c>
      <c r="D8" s="27">
        <v>114000</v>
      </c>
      <c r="E8" s="36">
        <v>110000</v>
      </c>
      <c r="F8" s="27">
        <f t="shared" si="0"/>
        <v>10450</v>
      </c>
      <c r="G8" s="27">
        <f t="shared" si="1"/>
        <v>148.5</v>
      </c>
      <c r="H8" s="27">
        <f t="shared" si="2"/>
        <v>10598.5</v>
      </c>
      <c r="I8" s="27">
        <f t="shared" si="3"/>
        <v>253</v>
      </c>
      <c r="J8" s="29">
        <f t="shared" si="4"/>
        <v>10851.5</v>
      </c>
    </row>
    <row r="9" spans="1:10" ht="20.100000000000001" customHeight="1" x14ac:dyDescent="0.25">
      <c r="A9" s="3">
        <v>8</v>
      </c>
      <c r="B9" s="4">
        <v>114000</v>
      </c>
      <c r="C9" s="19" t="s">
        <v>9</v>
      </c>
      <c r="D9" s="4">
        <v>122000</v>
      </c>
      <c r="E9" s="35">
        <v>118000</v>
      </c>
      <c r="F9" s="4">
        <f t="shared" si="0"/>
        <v>11210</v>
      </c>
      <c r="G9" s="4">
        <f t="shared" si="1"/>
        <v>159.30000000000001</v>
      </c>
      <c r="H9" s="4">
        <f t="shared" si="2"/>
        <v>11369.3</v>
      </c>
      <c r="I9" s="4">
        <f t="shared" si="3"/>
        <v>271.39999999999998</v>
      </c>
      <c r="J9" s="13">
        <f t="shared" si="4"/>
        <v>11640.699999999999</v>
      </c>
    </row>
    <row r="10" spans="1:10" ht="20.100000000000001" customHeight="1" x14ac:dyDescent="0.25">
      <c r="A10" s="26">
        <v>9</v>
      </c>
      <c r="B10" s="27">
        <v>122000</v>
      </c>
      <c r="C10" s="28" t="s">
        <v>9</v>
      </c>
      <c r="D10" s="27">
        <v>130000</v>
      </c>
      <c r="E10" s="36">
        <v>126000</v>
      </c>
      <c r="F10" s="27">
        <f t="shared" si="0"/>
        <v>11970</v>
      </c>
      <c r="G10" s="27">
        <f t="shared" si="1"/>
        <v>170.10000000000002</v>
      </c>
      <c r="H10" s="27">
        <f t="shared" si="2"/>
        <v>12140.1</v>
      </c>
      <c r="I10" s="27">
        <f t="shared" si="3"/>
        <v>289.8</v>
      </c>
      <c r="J10" s="29">
        <f t="shared" si="4"/>
        <v>12429.9</v>
      </c>
    </row>
    <row r="11" spans="1:10" ht="20.100000000000001" customHeight="1" x14ac:dyDescent="0.25">
      <c r="A11" s="3">
        <v>10</v>
      </c>
      <c r="B11" s="4">
        <v>130000</v>
      </c>
      <c r="C11" s="19" t="s">
        <v>9</v>
      </c>
      <c r="D11" s="4">
        <v>138000</v>
      </c>
      <c r="E11" s="35">
        <v>134000</v>
      </c>
      <c r="F11" s="4">
        <f t="shared" si="0"/>
        <v>12730</v>
      </c>
      <c r="G11" s="4">
        <f t="shared" si="1"/>
        <v>180.9</v>
      </c>
      <c r="H11" s="4">
        <f t="shared" si="2"/>
        <v>12910.9</v>
      </c>
      <c r="I11" s="4">
        <f t="shared" si="3"/>
        <v>308.2</v>
      </c>
      <c r="J11" s="13">
        <f t="shared" si="4"/>
        <v>13219.1</v>
      </c>
    </row>
    <row r="12" spans="1:10" ht="20.100000000000001" customHeight="1" x14ac:dyDescent="0.25">
      <c r="A12" s="26">
        <v>11</v>
      </c>
      <c r="B12" s="27">
        <v>138000</v>
      </c>
      <c r="C12" s="28" t="s">
        <v>9</v>
      </c>
      <c r="D12" s="27">
        <v>146000</v>
      </c>
      <c r="E12" s="36">
        <v>142000</v>
      </c>
      <c r="F12" s="27">
        <f t="shared" si="0"/>
        <v>13490</v>
      </c>
      <c r="G12" s="27">
        <f t="shared" si="1"/>
        <v>191.70000000000002</v>
      </c>
      <c r="H12" s="27">
        <f t="shared" si="2"/>
        <v>13681.7</v>
      </c>
      <c r="I12" s="27">
        <f t="shared" si="3"/>
        <v>326.60000000000002</v>
      </c>
      <c r="J12" s="29">
        <f t="shared" si="4"/>
        <v>14008.300000000001</v>
      </c>
    </row>
    <row r="13" spans="1:10" ht="20.100000000000001" customHeight="1" x14ac:dyDescent="0.25">
      <c r="A13" s="3">
        <v>12</v>
      </c>
      <c r="B13" s="4">
        <v>146000</v>
      </c>
      <c r="C13" s="19" t="s">
        <v>9</v>
      </c>
      <c r="D13" s="4">
        <v>155000</v>
      </c>
      <c r="E13" s="35">
        <v>150000</v>
      </c>
      <c r="F13" s="4">
        <f t="shared" si="0"/>
        <v>14250</v>
      </c>
      <c r="G13" s="4">
        <f t="shared" si="1"/>
        <v>202.5</v>
      </c>
      <c r="H13" s="4">
        <f t="shared" si="2"/>
        <v>14452.5</v>
      </c>
      <c r="I13" s="4">
        <f t="shared" si="3"/>
        <v>345</v>
      </c>
      <c r="J13" s="13">
        <f t="shared" si="4"/>
        <v>14797.5</v>
      </c>
    </row>
    <row r="14" spans="1:10" ht="20.100000000000001" customHeight="1" x14ac:dyDescent="0.25">
      <c r="A14" s="26">
        <v>13</v>
      </c>
      <c r="B14" s="27">
        <v>155000</v>
      </c>
      <c r="C14" s="28" t="s">
        <v>9</v>
      </c>
      <c r="D14" s="27">
        <v>165000</v>
      </c>
      <c r="E14" s="36">
        <v>160000</v>
      </c>
      <c r="F14" s="27">
        <f t="shared" si="0"/>
        <v>15200</v>
      </c>
      <c r="G14" s="27">
        <f t="shared" si="1"/>
        <v>216</v>
      </c>
      <c r="H14" s="27">
        <f t="shared" si="2"/>
        <v>15416</v>
      </c>
      <c r="I14" s="27">
        <f t="shared" si="3"/>
        <v>368</v>
      </c>
      <c r="J14" s="29">
        <f t="shared" si="4"/>
        <v>15784</v>
      </c>
    </row>
    <row r="15" spans="1:10" ht="20.100000000000001" customHeight="1" x14ac:dyDescent="0.25">
      <c r="A15" s="3">
        <v>14</v>
      </c>
      <c r="B15" s="4">
        <v>165000</v>
      </c>
      <c r="C15" s="19" t="s">
        <v>9</v>
      </c>
      <c r="D15" s="4">
        <v>175000</v>
      </c>
      <c r="E15" s="35">
        <v>170000</v>
      </c>
      <c r="F15" s="4">
        <f t="shared" si="0"/>
        <v>16150</v>
      </c>
      <c r="G15" s="4">
        <f t="shared" si="1"/>
        <v>229.5</v>
      </c>
      <c r="H15" s="4">
        <f t="shared" si="2"/>
        <v>16379.5</v>
      </c>
      <c r="I15" s="4">
        <f t="shared" si="3"/>
        <v>391</v>
      </c>
      <c r="J15" s="13">
        <f t="shared" si="4"/>
        <v>16770.5</v>
      </c>
    </row>
    <row r="16" spans="1:10" ht="20.100000000000001" customHeight="1" x14ac:dyDescent="0.25">
      <c r="A16" s="26">
        <v>15</v>
      </c>
      <c r="B16" s="27">
        <v>175000</v>
      </c>
      <c r="C16" s="28" t="s">
        <v>9</v>
      </c>
      <c r="D16" s="27">
        <v>185000</v>
      </c>
      <c r="E16" s="36">
        <v>180000</v>
      </c>
      <c r="F16" s="27">
        <f t="shared" si="0"/>
        <v>17100</v>
      </c>
      <c r="G16" s="27">
        <f t="shared" si="1"/>
        <v>243</v>
      </c>
      <c r="H16" s="27">
        <f t="shared" si="2"/>
        <v>17343</v>
      </c>
      <c r="I16" s="27">
        <f t="shared" si="3"/>
        <v>414</v>
      </c>
      <c r="J16" s="29">
        <f t="shared" si="4"/>
        <v>17757</v>
      </c>
    </row>
    <row r="17" spans="1:10" ht="20.100000000000001" customHeight="1" x14ac:dyDescent="0.25">
      <c r="A17" s="3">
        <v>16</v>
      </c>
      <c r="B17" s="4">
        <v>185000</v>
      </c>
      <c r="C17" s="19" t="s">
        <v>9</v>
      </c>
      <c r="D17" s="4">
        <v>195000</v>
      </c>
      <c r="E17" s="35">
        <v>190000</v>
      </c>
      <c r="F17" s="4">
        <f t="shared" si="0"/>
        <v>18050</v>
      </c>
      <c r="G17" s="4">
        <f t="shared" si="1"/>
        <v>256.5</v>
      </c>
      <c r="H17" s="4">
        <f t="shared" si="2"/>
        <v>18306.5</v>
      </c>
      <c r="I17" s="4">
        <f t="shared" si="3"/>
        <v>437</v>
      </c>
      <c r="J17" s="13">
        <f t="shared" si="4"/>
        <v>18743.5</v>
      </c>
    </row>
    <row r="18" spans="1:10" ht="20.100000000000001" customHeight="1" x14ac:dyDescent="0.25">
      <c r="A18" s="26">
        <v>17</v>
      </c>
      <c r="B18" s="27">
        <v>195000</v>
      </c>
      <c r="C18" s="28" t="s">
        <v>9</v>
      </c>
      <c r="D18" s="27">
        <v>210000</v>
      </c>
      <c r="E18" s="36">
        <v>200000</v>
      </c>
      <c r="F18" s="27">
        <f t="shared" si="0"/>
        <v>19000</v>
      </c>
      <c r="G18" s="27">
        <f t="shared" si="1"/>
        <v>270</v>
      </c>
      <c r="H18" s="27">
        <f t="shared" si="2"/>
        <v>19270</v>
      </c>
      <c r="I18" s="27">
        <f t="shared" si="3"/>
        <v>460</v>
      </c>
      <c r="J18" s="29">
        <f t="shared" si="4"/>
        <v>19730</v>
      </c>
    </row>
    <row r="19" spans="1:10" ht="20.100000000000001" customHeight="1" x14ac:dyDescent="0.25">
      <c r="A19" s="3">
        <v>18</v>
      </c>
      <c r="B19" s="4">
        <v>210000</v>
      </c>
      <c r="C19" s="19" t="s">
        <v>9</v>
      </c>
      <c r="D19" s="4">
        <v>230000</v>
      </c>
      <c r="E19" s="35">
        <v>220000</v>
      </c>
      <c r="F19" s="4">
        <f t="shared" si="0"/>
        <v>20900</v>
      </c>
      <c r="G19" s="4">
        <f t="shared" si="1"/>
        <v>297</v>
      </c>
      <c r="H19" s="4">
        <f t="shared" si="2"/>
        <v>21197</v>
      </c>
      <c r="I19" s="4">
        <f t="shared" si="3"/>
        <v>506</v>
      </c>
      <c r="J19" s="13">
        <f t="shared" si="4"/>
        <v>21703</v>
      </c>
    </row>
    <row r="20" spans="1:10" ht="20.100000000000001" customHeight="1" x14ac:dyDescent="0.25">
      <c r="A20" s="26">
        <v>19</v>
      </c>
      <c r="B20" s="27">
        <v>230000</v>
      </c>
      <c r="C20" s="28" t="s">
        <v>9</v>
      </c>
      <c r="D20" s="27">
        <v>250000</v>
      </c>
      <c r="E20" s="36">
        <v>240000</v>
      </c>
      <c r="F20" s="27">
        <f t="shared" si="0"/>
        <v>22800</v>
      </c>
      <c r="G20" s="27">
        <f t="shared" si="1"/>
        <v>324</v>
      </c>
      <c r="H20" s="27">
        <f>+F20+G20</f>
        <v>23124</v>
      </c>
      <c r="I20" s="27">
        <f t="shared" si="3"/>
        <v>552</v>
      </c>
      <c r="J20" s="29">
        <f t="shared" si="4"/>
        <v>23676</v>
      </c>
    </row>
    <row r="21" spans="1:10" ht="20.100000000000001" customHeight="1" x14ac:dyDescent="0.25">
      <c r="A21" s="3">
        <v>20</v>
      </c>
      <c r="B21" s="4">
        <v>250000</v>
      </c>
      <c r="C21" s="19" t="s">
        <v>9</v>
      </c>
      <c r="D21" s="4">
        <v>270000</v>
      </c>
      <c r="E21" s="35">
        <v>260000</v>
      </c>
      <c r="F21" s="4">
        <f t="shared" si="0"/>
        <v>24700</v>
      </c>
      <c r="G21" s="4">
        <f t="shared" si="1"/>
        <v>351</v>
      </c>
      <c r="H21" s="4">
        <f>+F21+G21</f>
        <v>25051</v>
      </c>
      <c r="I21" s="4">
        <f t="shared" si="3"/>
        <v>598</v>
      </c>
      <c r="J21" s="13">
        <f t="shared" si="4"/>
        <v>25649</v>
      </c>
    </row>
    <row r="22" spans="1:10" ht="20.100000000000001" customHeight="1" x14ac:dyDescent="0.25">
      <c r="A22" s="26">
        <v>21</v>
      </c>
      <c r="B22" s="27">
        <v>270000</v>
      </c>
      <c r="C22" s="28" t="s">
        <v>9</v>
      </c>
      <c r="D22" s="27">
        <v>290000</v>
      </c>
      <c r="E22" s="36">
        <v>280000</v>
      </c>
      <c r="F22" s="27">
        <f t="shared" si="0"/>
        <v>26600</v>
      </c>
      <c r="G22" s="27">
        <f t="shared" si="1"/>
        <v>378</v>
      </c>
      <c r="H22" s="27">
        <f>+F22+G22</f>
        <v>26978</v>
      </c>
      <c r="I22" s="27">
        <f t="shared" si="3"/>
        <v>644</v>
      </c>
      <c r="J22" s="29">
        <f t="shared" si="4"/>
        <v>27622</v>
      </c>
    </row>
    <row r="23" spans="1:10" ht="20.100000000000001" customHeight="1" x14ac:dyDescent="0.25">
      <c r="A23" s="3">
        <v>22</v>
      </c>
      <c r="B23" s="4">
        <v>290000</v>
      </c>
      <c r="C23" s="19" t="s">
        <v>9</v>
      </c>
      <c r="D23" s="4">
        <v>310000</v>
      </c>
      <c r="E23" s="35">
        <v>300000</v>
      </c>
      <c r="F23" s="4">
        <f t="shared" si="0"/>
        <v>28500</v>
      </c>
      <c r="G23" s="4">
        <f t="shared" si="1"/>
        <v>405</v>
      </c>
      <c r="H23" s="4">
        <f>+F23+G23</f>
        <v>28905</v>
      </c>
      <c r="I23" s="4">
        <f t="shared" si="3"/>
        <v>690</v>
      </c>
      <c r="J23" s="13">
        <f t="shared" si="4"/>
        <v>29595</v>
      </c>
    </row>
    <row r="24" spans="1:10" ht="20.100000000000001" customHeight="1" x14ac:dyDescent="0.25">
      <c r="A24" s="26">
        <v>23</v>
      </c>
      <c r="B24" s="27">
        <v>310000</v>
      </c>
      <c r="C24" s="28" t="s">
        <v>9</v>
      </c>
      <c r="D24" s="27">
        <v>330000</v>
      </c>
      <c r="E24" s="36">
        <v>320000</v>
      </c>
      <c r="F24" s="27">
        <f t="shared" si="0"/>
        <v>30400</v>
      </c>
      <c r="G24" s="27">
        <f t="shared" si="1"/>
        <v>432</v>
      </c>
      <c r="H24" s="27">
        <f>+F24+G24</f>
        <v>30832</v>
      </c>
      <c r="I24" s="27">
        <f t="shared" si="3"/>
        <v>736</v>
      </c>
      <c r="J24" s="29">
        <f t="shared" si="4"/>
        <v>31568</v>
      </c>
    </row>
    <row r="25" spans="1:10" ht="20.100000000000001" customHeight="1" x14ac:dyDescent="0.25">
      <c r="A25" s="3">
        <v>24</v>
      </c>
      <c r="B25" s="4">
        <v>330000</v>
      </c>
      <c r="C25" s="19" t="s">
        <v>9</v>
      </c>
      <c r="D25" s="4">
        <v>350000</v>
      </c>
      <c r="E25" s="35">
        <v>340000</v>
      </c>
      <c r="F25" s="4">
        <f t="shared" si="0"/>
        <v>32300</v>
      </c>
      <c r="G25" s="4">
        <f t="shared" si="1"/>
        <v>459</v>
      </c>
      <c r="H25" s="4">
        <f>+F25+G25</f>
        <v>32759</v>
      </c>
      <c r="I25" s="4">
        <f t="shared" si="3"/>
        <v>782</v>
      </c>
      <c r="J25" s="13">
        <f t="shared" si="4"/>
        <v>33541</v>
      </c>
    </row>
    <row r="26" spans="1:10" ht="20.100000000000001" customHeight="1" x14ac:dyDescent="0.25">
      <c r="A26" s="26">
        <v>25</v>
      </c>
      <c r="B26" s="27">
        <v>350000</v>
      </c>
      <c r="C26" s="28" t="s">
        <v>9</v>
      </c>
      <c r="D26" s="27">
        <v>370000</v>
      </c>
      <c r="E26" s="36">
        <v>360000</v>
      </c>
      <c r="F26" s="27">
        <f t="shared" si="0"/>
        <v>34200</v>
      </c>
      <c r="G26" s="27">
        <f t="shared" si="1"/>
        <v>486</v>
      </c>
      <c r="H26" s="27">
        <f>+F26+G26</f>
        <v>34686</v>
      </c>
      <c r="I26" s="27">
        <f t="shared" si="3"/>
        <v>828</v>
      </c>
      <c r="J26" s="29">
        <f t="shared" si="4"/>
        <v>35514</v>
      </c>
    </row>
    <row r="27" spans="1:10" ht="20.100000000000001" customHeight="1" x14ac:dyDescent="0.25">
      <c r="A27" s="3">
        <v>26</v>
      </c>
      <c r="B27" s="4">
        <v>370000</v>
      </c>
      <c r="C27" s="19" t="s">
        <v>9</v>
      </c>
      <c r="D27" s="4">
        <v>395000</v>
      </c>
      <c r="E27" s="35">
        <v>380000</v>
      </c>
      <c r="F27" s="4">
        <f t="shared" si="0"/>
        <v>36100</v>
      </c>
      <c r="G27" s="4">
        <f t="shared" si="1"/>
        <v>513</v>
      </c>
      <c r="H27" s="4">
        <f>+F27+G27</f>
        <v>36613</v>
      </c>
      <c r="I27" s="4">
        <f t="shared" si="3"/>
        <v>874</v>
      </c>
      <c r="J27" s="13">
        <f t="shared" si="4"/>
        <v>37487</v>
      </c>
    </row>
    <row r="28" spans="1:10" ht="20.100000000000001" customHeight="1" x14ac:dyDescent="0.25">
      <c r="A28" s="30">
        <v>27</v>
      </c>
      <c r="B28" s="31">
        <v>395000</v>
      </c>
      <c r="C28" s="32" t="s">
        <v>9</v>
      </c>
      <c r="D28" s="31">
        <v>425000</v>
      </c>
      <c r="E28" s="37">
        <v>410000</v>
      </c>
      <c r="F28" s="31">
        <f t="shared" si="0"/>
        <v>38950</v>
      </c>
      <c r="G28" s="31">
        <f t="shared" si="1"/>
        <v>553.5</v>
      </c>
      <c r="H28" s="31">
        <f>+F28+G28</f>
        <v>39503.5</v>
      </c>
      <c r="I28" s="31">
        <f t="shared" si="3"/>
        <v>943</v>
      </c>
      <c r="J28" s="33">
        <f t="shared" si="4"/>
        <v>40446.5</v>
      </c>
    </row>
  </sheetData>
  <sheetProtection algorithmName="SHA-512" hashValue="978rVhPix+R+30Y7XM5NWgYEeWfbGr9Q8h9Tv/mY2eY8HY76WkB/ed4il49vn1JmW3LBdTtrpfQi9jYszj/VyQ==" saltValue="OSzO2IsSXo2S7sHnR+VMiw==" spinCount="100000" sheet="1" objects="1" scenarios="1"/>
  <phoneticPr fontId="1"/>
  <pageMargins left="0.75" right="0.75" top="1" bottom="1" header="0.5" footer="0.5"/>
  <ignoredErrors>
    <ignoredError sqref="I2:I2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FF99"/>
  </sheetPr>
  <dimension ref="A1:K28"/>
  <sheetViews>
    <sheetView tabSelected="1" workbookViewId="0">
      <selection activeCell="I14" sqref="I14"/>
    </sheetView>
  </sheetViews>
  <sheetFormatPr defaultColWidth="12.625" defaultRowHeight="15.75" x14ac:dyDescent="0.25"/>
  <cols>
    <col min="1" max="1" width="10.625" style="1" customWidth="1"/>
    <col min="2" max="2" width="10.625" style="2" customWidth="1"/>
    <col min="3" max="3" width="3.625" style="14" customWidth="1"/>
    <col min="4" max="4" width="10.625" style="2" customWidth="1"/>
    <col min="5" max="5" width="15.625" style="1" customWidth="1"/>
    <col min="6" max="9" width="14.625" style="1" customWidth="1"/>
    <col min="10" max="10" width="17.625" style="1" customWidth="1"/>
    <col min="11" max="11" width="18.625" style="1" customWidth="1"/>
    <col min="12" max="16384" width="12.625" style="1"/>
  </cols>
  <sheetData>
    <row r="1" spans="1:11" ht="24.95" customHeight="1" x14ac:dyDescent="0.25">
      <c r="A1" s="5" t="s">
        <v>0</v>
      </c>
      <c r="B1" s="5" t="s">
        <v>10</v>
      </c>
      <c r="C1" s="5"/>
      <c r="D1" s="5" t="s">
        <v>11</v>
      </c>
      <c r="E1" s="5" t="s">
        <v>1</v>
      </c>
      <c r="F1" s="5" t="s">
        <v>2</v>
      </c>
      <c r="G1" s="5" t="s">
        <v>3</v>
      </c>
      <c r="H1" s="5" t="s">
        <v>4</v>
      </c>
      <c r="I1" s="5" t="s">
        <v>5</v>
      </c>
      <c r="J1" s="15" t="s">
        <v>6</v>
      </c>
      <c r="K1" s="17" t="s">
        <v>7</v>
      </c>
    </row>
    <row r="2" spans="1:11" ht="20.100000000000001" customHeight="1" x14ac:dyDescent="0.25">
      <c r="A2" s="7">
        <v>1</v>
      </c>
      <c r="B2" s="8"/>
      <c r="C2" s="20" t="s">
        <v>9</v>
      </c>
      <c r="D2" s="8">
        <v>63000</v>
      </c>
      <c r="E2" s="38">
        <v>58000</v>
      </c>
      <c r="F2" s="8">
        <f>+E2*0.095</f>
        <v>5510</v>
      </c>
      <c r="G2" s="8">
        <f>+E2*0.00135</f>
        <v>78.3</v>
      </c>
      <c r="H2" s="8">
        <v>5588</v>
      </c>
      <c r="I2" s="8">
        <f>+E2*0.016</f>
        <v>928</v>
      </c>
      <c r="J2" s="39">
        <f>+E2*0.0023</f>
        <v>133.4</v>
      </c>
      <c r="K2" s="40">
        <f>+H2+I2+J2</f>
        <v>6649.4</v>
      </c>
    </row>
    <row r="3" spans="1:11" ht="20.100000000000001" customHeight="1" x14ac:dyDescent="0.25">
      <c r="A3" s="3">
        <v>2</v>
      </c>
      <c r="B3" s="4">
        <v>63000</v>
      </c>
      <c r="C3" s="19" t="s">
        <v>9</v>
      </c>
      <c r="D3" s="4">
        <v>73000</v>
      </c>
      <c r="E3" s="35">
        <v>68000</v>
      </c>
      <c r="F3" s="4">
        <f t="shared" ref="F3:F28" si="0">+E3*0.095</f>
        <v>6460</v>
      </c>
      <c r="G3" s="4">
        <f t="shared" ref="G3:G28" si="1">+E3*0.00135</f>
        <v>91.800000000000011</v>
      </c>
      <c r="H3" s="4">
        <v>7515</v>
      </c>
      <c r="I3" s="4">
        <f t="shared" ref="I3:I28" si="2">+E3*0.016</f>
        <v>1088</v>
      </c>
      <c r="J3" s="16">
        <f t="shared" ref="J3:J28" si="3">+E3*0.0023</f>
        <v>156.4</v>
      </c>
      <c r="K3" s="18">
        <f t="shared" ref="K3:K28" si="4">+H3+I3+J3</f>
        <v>8759.4</v>
      </c>
    </row>
    <row r="4" spans="1:11" ht="20.100000000000001" customHeight="1" x14ac:dyDescent="0.25">
      <c r="A4" s="9">
        <v>3</v>
      </c>
      <c r="B4" s="10">
        <v>73000</v>
      </c>
      <c r="C4" s="21" t="s">
        <v>9</v>
      </c>
      <c r="D4" s="10">
        <v>83000</v>
      </c>
      <c r="E4" s="41">
        <v>78000</v>
      </c>
      <c r="F4" s="10">
        <f t="shared" si="0"/>
        <v>7410</v>
      </c>
      <c r="G4" s="10">
        <f t="shared" si="1"/>
        <v>105.30000000000001</v>
      </c>
      <c r="H4" s="10">
        <v>9442</v>
      </c>
      <c r="I4" s="10">
        <f t="shared" si="2"/>
        <v>1248</v>
      </c>
      <c r="J4" s="42">
        <f t="shared" si="3"/>
        <v>179.4</v>
      </c>
      <c r="K4" s="43">
        <f t="shared" si="4"/>
        <v>10869.4</v>
      </c>
    </row>
    <row r="5" spans="1:11" ht="20.100000000000001" customHeight="1" x14ac:dyDescent="0.25">
      <c r="A5" s="3">
        <v>4</v>
      </c>
      <c r="B5" s="4">
        <v>83000</v>
      </c>
      <c r="C5" s="19" t="s">
        <v>9</v>
      </c>
      <c r="D5" s="4">
        <v>93000</v>
      </c>
      <c r="E5" s="35">
        <v>88000</v>
      </c>
      <c r="F5" s="4">
        <f t="shared" si="0"/>
        <v>8360</v>
      </c>
      <c r="G5" s="4">
        <f t="shared" si="1"/>
        <v>118.80000000000001</v>
      </c>
      <c r="H5" s="4">
        <v>11369</v>
      </c>
      <c r="I5" s="4">
        <f t="shared" si="2"/>
        <v>1408</v>
      </c>
      <c r="J5" s="16">
        <f t="shared" si="3"/>
        <v>202.4</v>
      </c>
      <c r="K5" s="18">
        <f t="shared" si="4"/>
        <v>12979.4</v>
      </c>
    </row>
    <row r="6" spans="1:11" ht="20.100000000000001" customHeight="1" x14ac:dyDescent="0.25">
      <c r="A6" s="9">
        <v>5</v>
      </c>
      <c r="B6" s="10">
        <v>93000</v>
      </c>
      <c r="C6" s="21" t="s">
        <v>9</v>
      </c>
      <c r="D6" s="10">
        <v>101000</v>
      </c>
      <c r="E6" s="41">
        <v>98000</v>
      </c>
      <c r="F6" s="10">
        <f t="shared" si="0"/>
        <v>9310</v>
      </c>
      <c r="G6" s="10">
        <f t="shared" si="1"/>
        <v>132.30000000000001</v>
      </c>
      <c r="H6" s="10">
        <v>13296</v>
      </c>
      <c r="I6" s="10">
        <f t="shared" si="2"/>
        <v>1568</v>
      </c>
      <c r="J6" s="42">
        <f t="shared" si="3"/>
        <v>225.4</v>
      </c>
      <c r="K6" s="43">
        <f t="shared" si="4"/>
        <v>15089.4</v>
      </c>
    </row>
    <row r="7" spans="1:11" ht="20.100000000000001" customHeight="1" x14ac:dyDescent="0.25">
      <c r="A7" s="3">
        <v>6</v>
      </c>
      <c r="B7" s="4">
        <v>101000</v>
      </c>
      <c r="C7" s="19" t="s">
        <v>9</v>
      </c>
      <c r="D7" s="4">
        <v>107000</v>
      </c>
      <c r="E7" s="35">
        <v>104000</v>
      </c>
      <c r="F7" s="4">
        <f t="shared" si="0"/>
        <v>9880</v>
      </c>
      <c r="G7" s="4">
        <f t="shared" si="1"/>
        <v>140.4</v>
      </c>
      <c r="H7" s="4">
        <v>15223</v>
      </c>
      <c r="I7" s="4">
        <f t="shared" si="2"/>
        <v>1664</v>
      </c>
      <c r="J7" s="16">
        <f t="shared" si="3"/>
        <v>239.2</v>
      </c>
      <c r="K7" s="18">
        <f t="shared" si="4"/>
        <v>17126.2</v>
      </c>
    </row>
    <row r="8" spans="1:11" ht="20.100000000000001" customHeight="1" x14ac:dyDescent="0.25">
      <c r="A8" s="9">
        <v>7</v>
      </c>
      <c r="B8" s="10">
        <v>107000</v>
      </c>
      <c r="C8" s="21" t="s">
        <v>9</v>
      </c>
      <c r="D8" s="10">
        <v>114000</v>
      </c>
      <c r="E8" s="41">
        <v>110000</v>
      </c>
      <c r="F8" s="10">
        <f t="shared" si="0"/>
        <v>10450</v>
      </c>
      <c r="G8" s="10">
        <f t="shared" si="1"/>
        <v>148.5</v>
      </c>
      <c r="H8" s="10">
        <v>17150</v>
      </c>
      <c r="I8" s="10">
        <f t="shared" si="2"/>
        <v>1760</v>
      </c>
      <c r="J8" s="42">
        <f t="shared" si="3"/>
        <v>253</v>
      </c>
      <c r="K8" s="43">
        <f t="shared" si="4"/>
        <v>19163</v>
      </c>
    </row>
    <row r="9" spans="1:11" ht="20.100000000000001" customHeight="1" x14ac:dyDescent="0.25">
      <c r="A9" s="3">
        <v>8</v>
      </c>
      <c r="B9" s="4">
        <v>114000</v>
      </c>
      <c r="C9" s="19" t="s">
        <v>9</v>
      </c>
      <c r="D9" s="4">
        <v>122000</v>
      </c>
      <c r="E9" s="35">
        <v>118000</v>
      </c>
      <c r="F9" s="4">
        <f t="shared" si="0"/>
        <v>11210</v>
      </c>
      <c r="G9" s="4">
        <f t="shared" si="1"/>
        <v>159.30000000000001</v>
      </c>
      <c r="H9" s="4">
        <v>19077</v>
      </c>
      <c r="I9" s="4">
        <f t="shared" si="2"/>
        <v>1888</v>
      </c>
      <c r="J9" s="16">
        <f t="shared" si="3"/>
        <v>271.39999999999998</v>
      </c>
      <c r="K9" s="18">
        <f t="shared" si="4"/>
        <v>21236.400000000001</v>
      </c>
    </row>
    <row r="10" spans="1:11" ht="20.100000000000001" customHeight="1" x14ac:dyDescent="0.25">
      <c r="A10" s="9">
        <v>9</v>
      </c>
      <c r="B10" s="10">
        <v>122000</v>
      </c>
      <c r="C10" s="21" t="s">
        <v>9</v>
      </c>
      <c r="D10" s="10">
        <v>130000</v>
      </c>
      <c r="E10" s="41">
        <v>126000</v>
      </c>
      <c r="F10" s="10">
        <f t="shared" si="0"/>
        <v>11970</v>
      </c>
      <c r="G10" s="10">
        <f t="shared" si="1"/>
        <v>170.10000000000002</v>
      </c>
      <c r="H10" s="10">
        <v>21004</v>
      </c>
      <c r="I10" s="10">
        <f t="shared" si="2"/>
        <v>2016</v>
      </c>
      <c r="J10" s="42">
        <f t="shared" si="3"/>
        <v>289.8</v>
      </c>
      <c r="K10" s="43">
        <f t="shared" si="4"/>
        <v>23309.8</v>
      </c>
    </row>
    <row r="11" spans="1:11" ht="20.100000000000001" customHeight="1" x14ac:dyDescent="0.25">
      <c r="A11" s="3">
        <v>10</v>
      </c>
      <c r="B11" s="4">
        <v>130000</v>
      </c>
      <c r="C11" s="19" t="s">
        <v>9</v>
      </c>
      <c r="D11" s="4">
        <v>138000</v>
      </c>
      <c r="E11" s="35">
        <v>134000</v>
      </c>
      <c r="F11" s="4">
        <f t="shared" si="0"/>
        <v>12730</v>
      </c>
      <c r="G11" s="4">
        <f t="shared" si="1"/>
        <v>180.9</v>
      </c>
      <c r="H11" s="4">
        <v>22931</v>
      </c>
      <c r="I11" s="4">
        <f t="shared" si="2"/>
        <v>2144</v>
      </c>
      <c r="J11" s="16">
        <f t="shared" si="3"/>
        <v>308.2</v>
      </c>
      <c r="K11" s="18">
        <f t="shared" si="4"/>
        <v>25383.200000000001</v>
      </c>
    </row>
    <row r="12" spans="1:11" ht="20.100000000000001" customHeight="1" x14ac:dyDescent="0.25">
      <c r="A12" s="9">
        <v>11</v>
      </c>
      <c r="B12" s="10">
        <v>138000</v>
      </c>
      <c r="C12" s="21" t="s">
        <v>9</v>
      </c>
      <c r="D12" s="10">
        <v>146000</v>
      </c>
      <c r="E12" s="41">
        <v>142000</v>
      </c>
      <c r="F12" s="10">
        <f t="shared" si="0"/>
        <v>13490</v>
      </c>
      <c r="G12" s="10">
        <f t="shared" si="1"/>
        <v>191.70000000000002</v>
      </c>
      <c r="H12" s="10">
        <v>24858</v>
      </c>
      <c r="I12" s="10">
        <f t="shared" si="2"/>
        <v>2272</v>
      </c>
      <c r="J12" s="42">
        <f t="shared" si="3"/>
        <v>326.60000000000002</v>
      </c>
      <c r="K12" s="43">
        <f t="shared" si="4"/>
        <v>27456.6</v>
      </c>
    </row>
    <row r="13" spans="1:11" ht="20.100000000000001" customHeight="1" x14ac:dyDescent="0.25">
      <c r="A13" s="3">
        <v>12</v>
      </c>
      <c r="B13" s="4">
        <v>146000</v>
      </c>
      <c r="C13" s="19" t="s">
        <v>9</v>
      </c>
      <c r="D13" s="4">
        <v>155000</v>
      </c>
      <c r="E13" s="35">
        <v>150000</v>
      </c>
      <c r="F13" s="4">
        <f t="shared" si="0"/>
        <v>14250</v>
      </c>
      <c r="G13" s="4">
        <f t="shared" si="1"/>
        <v>202.5</v>
      </c>
      <c r="H13" s="4">
        <v>26785</v>
      </c>
      <c r="I13" s="4">
        <f t="shared" si="2"/>
        <v>2400</v>
      </c>
      <c r="J13" s="16">
        <f t="shared" si="3"/>
        <v>345</v>
      </c>
      <c r="K13" s="18">
        <f t="shared" si="4"/>
        <v>29530</v>
      </c>
    </row>
    <row r="14" spans="1:11" ht="20.100000000000001" customHeight="1" x14ac:dyDescent="0.25">
      <c r="A14" s="9">
        <v>13</v>
      </c>
      <c r="B14" s="10">
        <v>155000</v>
      </c>
      <c r="C14" s="21" t="s">
        <v>9</v>
      </c>
      <c r="D14" s="10">
        <v>165000</v>
      </c>
      <c r="E14" s="41">
        <v>160000</v>
      </c>
      <c r="F14" s="10">
        <f t="shared" si="0"/>
        <v>15200</v>
      </c>
      <c r="G14" s="10">
        <f t="shared" si="1"/>
        <v>216</v>
      </c>
      <c r="H14" s="10">
        <v>28712</v>
      </c>
      <c r="I14" s="10">
        <f t="shared" si="2"/>
        <v>2560</v>
      </c>
      <c r="J14" s="42">
        <f t="shared" si="3"/>
        <v>368</v>
      </c>
      <c r="K14" s="43">
        <f t="shared" si="4"/>
        <v>31640</v>
      </c>
    </row>
    <row r="15" spans="1:11" ht="20.100000000000001" customHeight="1" x14ac:dyDescent="0.25">
      <c r="A15" s="3">
        <v>14</v>
      </c>
      <c r="B15" s="4">
        <v>165000</v>
      </c>
      <c r="C15" s="19" t="s">
        <v>9</v>
      </c>
      <c r="D15" s="4">
        <v>175000</v>
      </c>
      <c r="E15" s="35">
        <v>170000</v>
      </c>
      <c r="F15" s="4">
        <f t="shared" si="0"/>
        <v>16150</v>
      </c>
      <c r="G15" s="4">
        <f t="shared" si="1"/>
        <v>229.5</v>
      </c>
      <c r="H15" s="4">
        <v>30639</v>
      </c>
      <c r="I15" s="4">
        <f t="shared" si="2"/>
        <v>2720</v>
      </c>
      <c r="J15" s="16">
        <f t="shared" si="3"/>
        <v>391</v>
      </c>
      <c r="K15" s="18">
        <f t="shared" si="4"/>
        <v>33750</v>
      </c>
    </row>
    <row r="16" spans="1:11" ht="20.100000000000001" customHeight="1" x14ac:dyDescent="0.25">
      <c r="A16" s="9">
        <v>15</v>
      </c>
      <c r="B16" s="10">
        <v>175000</v>
      </c>
      <c r="C16" s="21" t="s">
        <v>9</v>
      </c>
      <c r="D16" s="10">
        <v>185000</v>
      </c>
      <c r="E16" s="41">
        <v>180000</v>
      </c>
      <c r="F16" s="10">
        <f t="shared" si="0"/>
        <v>17100</v>
      </c>
      <c r="G16" s="10">
        <f t="shared" si="1"/>
        <v>243</v>
      </c>
      <c r="H16" s="10">
        <v>32566</v>
      </c>
      <c r="I16" s="10">
        <f t="shared" si="2"/>
        <v>2880</v>
      </c>
      <c r="J16" s="42">
        <f t="shared" si="3"/>
        <v>414</v>
      </c>
      <c r="K16" s="43">
        <f t="shared" si="4"/>
        <v>35860</v>
      </c>
    </row>
    <row r="17" spans="1:11" ht="20.100000000000001" customHeight="1" x14ac:dyDescent="0.25">
      <c r="A17" s="3">
        <v>16</v>
      </c>
      <c r="B17" s="4">
        <v>185000</v>
      </c>
      <c r="C17" s="19" t="s">
        <v>9</v>
      </c>
      <c r="D17" s="4">
        <v>195000</v>
      </c>
      <c r="E17" s="35">
        <v>190000</v>
      </c>
      <c r="F17" s="4">
        <f t="shared" si="0"/>
        <v>18050</v>
      </c>
      <c r="G17" s="4">
        <f t="shared" si="1"/>
        <v>256.5</v>
      </c>
      <c r="H17" s="4">
        <v>34493</v>
      </c>
      <c r="I17" s="4">
        <f t="shared" si="2"/>
        <v>3040</v>
      </c>
      <c r="J17" s="16">
        <f t="shared" si="3"/>
        <v>437</v>
      </c>
      <c r="K17" s="18">
        <f t="shared" si="4"/>
        <v>37970</v>
      </c>
    </row>
    <row r="18" spans="1:11" ht="20.100000000000001" customHeight="1" x14ac:dyDescent="0.25">
      <c r="A18" s="9">
        <v>17</v>
      </c>
      <c r="B18" s="10">
        <v>195000</v>
      </c>
      <c r="C18" s="21" t="s">
        <v>9</v>
      </c>
      <c r="D18" s="10">
        <v>210000</v>
      </c>
      <c r="E18" s="41">
        <v>200000</v>
      </c>
      <c r="F18" s="10">
        <f t="shared" si="0"/>
        <v>19000</v>
      </c>
      <c r="G18" s="10">
        <f t="shared" si="1"/>
        <v>270</v>
      </c>
      <c r="H18" s="10">
        <v>36420</v>
      </c>
      <c r="I18" s="10">
        <f t="shared" si="2"/>
        <v>3200</v>
      </c>
      <c r="J18" s="42">
        <f t="shared" si="3"/>
        <v>460</v>
      </c>
      <c r="K18" s="43">
        <f t="shared" si="4"/>
        <v>40080</v>
      </c>
    </row>
    <row r="19" spans="1:11" ht="20.100000000000001" customHeight="1" x14ac:dyDescent="0.25">
      <c r="A19" s="3">
        <v>18</v>
      </c>
      <c r="B19" s="4">
        <v>210000</v>
      </c>
      <c r="C19" s="19" t="s">
        <v>9</v>
      </c>
      <c r="D19" s="4">
        <v>230000</v>
      </c>
      <c r="E19" s="35">
        <v>220000</v>
      </c>
      <c r="F19" s="4">
        <f t="shared" si="0"/>
        <v>20900</v>
      </c>
      <c r="G19" s="4">
        <f t="shared" si="1"/>
        <v>297</v>
      </c>
      <c r="H19" s="4">
        <v>38347</v>
      </c>
      <c r="I19" s="4">
        <f t="shared" si="2"/>
        <v>3520</v>
      </c>
      <c r="J19" s="16">
        <f t="shared" si="3"/>
        <v>506</v>
      </c>
      <c r="K19" s="18">
        <f t="shared" si="4"/>
        <v>42373</v>
      </c>
    </row>
    <row r="20" spans="1:11" ht="20.100000000000001" customHeight="1" x14ac:dyDescent="0.25">
      <c r="A20" s="9">
        <v>19</v>
      </c>
      <c r="B20" s="10">
        <v>230000</v>
      </c>
      <c r="C20" s="21" t="s">
        <v>9</v>
      </c>
      <c r="D20" s="10">
        <v>250000</v>
      </c>
      <c r="E20" s="41">
        <v>240000</v>
      </c>
      <c r="F20" s="10">
        <f t="shared" si="0"/>
        <v>22800</v>
      </c>
      <c r="G20" s="10">
        <f t="shared" si="1"/>
        <v>324</v>
      </c>
      <c r="H20" s="10">
        <v>39504</v>
      </c>
      <c r="I20" s="10">
        <f t="shared" si="2"/>
        <v>3840</v>
      </c>
      <c r="J20" s="42">
        <f t="shared" si="3"/>
        <v>552</v>
      </c>
      <c r="K20" s="43">
        <f t="shared" si="4"/>
        <v>43896</v>
      </c>
    </row>
    <row r="21" spans="1:11" ht="20.100000000000001" customHeight="1" x14ac:dyDescent="0.25">
      <c r="A21" s="3">
        <v>20</v>
      </c>
      <c r="B21" s="4">
        <v>250000</v>
      </c>
      <c r="C21" s="19" t="s">
        <v>9</v>
      </c>
      <c r="D21" s="4">
        <v>270000</v>
      </c>
      <c r="E21" s="35">
        <v>260000</v>
      </c>
      <c r="F21" s="4">
        <f t="shared" si="0"/>
        <v>24700</v>
      </c>
      <c r="G21" s="4">
        <f t="shared" si="1"/>
        <v>351</v>
      </c>
      <c r="H21" s="4">
        <v>39504</v>
      </c>
      <c r="I21" s="4">
        <f t="shared" si="2"/>
        <v>4160</v>
      </c>
      <c r="J21" s="16">
        <f t="shared" si="3"/>
        <v>598</v>
      </c>
      <c r="K21" s="18">
        <f t="shared" si="4"/>
        <v>44262</v>
      </c>
    </row>
    <row r="22" spans="1:11" ht="20.100000000000001" customHeight="1" x14ac:dyDescent="0.25">
      <c r="A22" s="9">
        <v>21</v>
      </c>
      <c r="B22" s="10">
        <v>270000</v>
      </c>
      <c r="C22" s="21" t="s">
        <v>9</v>
      </c>
      <c r="D22" s="10">
        <v>290000</v>
      </c>
      <c r="E22" s="41">
        <v>280000</v>
      </c>
      <c r="F22" s="10">
        <f t="shared" si="0"/>
        <v>26600</v>
      </c>
      <c r="G22" s="10">
        <f t="shared" si="1"/>
        <v>378</v>
      </c>
      <c r="H22" s="10">
        <v>39504</v>
      </c>
      <c r="I22" s="10">
        <f t="shared" si="2"/>
        <v>4480</v>
      </c>
      <c r="J22" s="42">
        <f t="shared" si="3"/>
        <v>644</v>
      </c>
      <c r="K22" s="43">
        <f t="shared" si="4"/>
        <v>44628</v>
      </c>
    </row>
    <row r="23" spans="1:11" ht="20.100000000000001" customHeight="1" x14ac:dyDescent="0.25">
      <c r="A23" s="3">
        <v>22</v>
      </c>
      <c r="B23" s="4">
        <v>290000</v>
      </c>
      <c r="C23" s="19" t="s">
        <v>9</v>
      </c>
      <c r="D23" s="4">
        <v>310000</v>
      </c>
      <c r="E23" s="35">
        <v>300000</v>
      </c>
      <c r="F23" s="4">
        <f t="shared" si="0"/>
        <v>28500</v>
      </c>
      <c r="G23" s="4">
        <f t="shared" si="1"/>
        <v>405</v>
      </c>
      <c r="H23" s="4">
        <v>39504</v>
      </c>
      <c r="I23" s="4">
        <f t="shared" si="2"/>
        <v>4800</v>
      </c>
      <c r="J23" s="16">
        <f t="shared" si="3"/>
        <v>690</v>
      </c>
      <c r="K23" s="18">
        <f t="shared" si="4"/>
        <v>44994</v>
      </c>
    </row>
    <row r="24" spans="1:11" ht="20.100000000000001" customHeight="1" x14ac:dyDescent="0.25">
      <c r="A24" s="9">
        <v>23</v>
      </c>
      <c r="B24" s="10">
        <v>310000</v>
      </c>
      <c r="C24" s="21" t="s">
        <v>9</v>
      </c>
      <c r="D24" s="10">
        <v>330000</v>
      </c>
      <c r="E24" s="41">
        <v>320000</v>
      </c>
      <c r="F24" s="10">
        <f t="shared" si="0"/>
        <v>30400</v>
      </c>
      <c r="G24" s="10">
        <f t="shared" si="1"/>
        <v>432</v>
      </c>
      <c r="H24" s="10">
        <v>39504</v>
      </c>
      <c r="I24" s="10">
        <f t="shared" si="2"/>
        <v>5120</v>
      </c>
      <c r="J24" s="42">
        <f t="shared" si="3"/>
        <v>736</v>
      </c>
      <c r="K24" s="43">
        <f t="shared" si="4"/>
        <v>45360</v>
      </c>
    </row>
    <row r="25" spans="1:11" ht="20.100000000000001" customHeight="1" x14ac:dyDescent="0.25">
      <c r="A25" s="3">
        <v>24</v>
      </c>
      <c r="B25" s="4">
        <v>330000</v>
      </c>
      <c r="C25" s="19" t="s">
        <v>9</v>
      </c>
      <c r="D25" s="4">
        <v>350000</v>
      </c>
      <c r="E25" s="35">
        <v>340000</v>
      </c>
      <c r="F25" s="4">
        <f t="shared" si="0"/>
        <v>32300</v>
      </c>
      <c r="G25" s="4">
        <f t="shared" si="1"/>
        <v>459</v>
      </c>
      <c r="H25" s="4">
        <v>39504</v>
      </c>
      <c r="I25" s="4">
        <f t="shared" si="2"/>
        <v>5440</v>
      </c>
      <c r="J25" s="16">
        <f t="shared" si="3"/>
        <v>782</v>
      </c>
      <c r="K25" s="18">
        <f t="shared" si="4"/>
        <v>45726</v>
      </c>
    </row>
    <row r="26" spans="1:11" ht="20.100000000000001" customHeight="1" x14ac:dyDescent="0.25">
      <c r="A26" s="9">
        <v>25</v>
      </c>
      <c r="B26" s="10">
        <v>350000</v>
      </c>
      <c r="C26" s="21" t="s">
        <v>9</v>
      </c>
      <c r="D26" s="10">
        <v>370000</v>
      </c>
      <c r="E26" s="41">
        <v>360000</v>
      </c>
      <c r="F26" s="10">
        <f t="shared" si="0"/>
        <v>34200</v>
      </c>
      <c r="G26" s="10">
        <f t="shared" si="1"/>
        <v>486</v>
      </c>
      <c r="H26" s="10">
        <v>39504</v>
      </c>
      <c r="I26" s="10">
        <f t="shared" si="2"/>
        <v>5760</v>
      </c>
      <c r="J26" s="42">
        <f t="shared" si="3"/>
        <v>828</v>
      </c>
      <c r="K26" s="43">
        <f t="shared" si="4"/>
        <v>46092</v>
      </c>
    </row>
    <row r="27" spans="1:11" ht="20.100000000000001" customHeight="1" x14ac:dyDescent="0.25">
      <c r="A27" s="3">
        <v>26</v>
      </c>
      <c r="B27" s="4">
        <v>370000</v>
      </c>
      <c r="C27" s="19" t="s">
        <v>9</v>
      </c>
      <c r="D27" s="4">
        <v>395000</v>
      </c>
      <c r="E27" s="35">
        <v>380000</v>
      </c>
      <c r="F27" s="4">
        <f t="shared" si="0"/>
        <v>36100</v>
      </c>
      <c r="G27" s="4">
        <f t="shared" si="1"/>
        <v>513</v>
      </c>
      <c r="H27" s="4">
        <v>39504</v>
      </c>
      <c r="I27" s="4">
        <f t="shared" si="2"/>
        <v>6080</v>
      </c>
      <c r="J27" s="16">
        <f t="shared" si="3"/>
        <v>874</v>
      </c>
      <c r="K27" s="18">
        <f t="shared" si="4"/>
        <v>46458</v>
      </c>
    </row>
    <row r="28" spans="1:11" ht="20.100000000000001" customHeight="1" thickBot="1" x14ac:dyDescent="0.3">
      <c r="A28" s="11">
        <v>27</v>
      </c>
      <c r="B28" s="12">
        <v>395000</v>
      </c>
      <c r="C28" s="44" t="s">
        <v>9</v>
      </c>
      <c r="D28" s="12">
        <v>425000</v>
      </c>
      <c r="E28" s="45">
        <v>410000</v>
      </c>
      <c r="F28" s="12">
        <f t="shared" si="0"/>
        <v>38950</v>
      </c>
      <c r="G28" s="12">
        <f t="shared" si="1"/>
        <v>553.5</v>
      </c>
      <c r="H28" s="12">
        <v>39504</v>
      </c>
      <c r="I28" s="12">
        <f t="shared" si="2"/>
        <v>6560</v>
      </c>
      <c r="J28" s="46">
        <f t="shared" si="3"/>
        <v>943</v>
      </c>
      <c r="K28" s="47">
        <f t="shared" si="4"/>
        <v>47007</v>
      </c>
    </row>
  </sheetData>
  <sheetProtection sheet="1" objects="1" scenarios="1"/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40歳未満</vt:lpstr>
      <vt:lpstr>40歳～64歳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KENPO</dc:creator>
  <cp:lastModifiedBy>竹林 直彦</cp:lastModifiedBy>
  <dcterms:created xsi:type="dcterms:W3CDTF">2026-02-13T02:25:55Z</dcterms:created>
  <dcterms:modified xsi:type="dcterms:W3CDTF">2026-02-13T04:23:43Z</dcterms:modified>
</cp:coreProperties>
</file>